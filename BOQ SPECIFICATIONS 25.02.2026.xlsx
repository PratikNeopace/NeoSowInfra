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8" windowWidth="14808" windowHeight="8016"/>
  </bookViews>
  <sheets>
    <sheet name="PARTITON" sheetId="1" r:id="rId1"/>
  </sheets>
  <calcPr calcId="162913"/>
</workbook>
</file>

<file path=xl/calcChain.xml><?xml version="1.0" encoding="utf-8"?>
<calcChain xmlns="http://schemas.openxmlformats.org/spreadsheetml/2006/main">
  <c r="K15" i="1" l="1"/>
  <c r="I13" i="1"/>
  <c r="F13" i="1"/>
  <c r="K11" i="1"/>
  <c r="I11" i="1"/>
  <c r="F11" i="1"/>
  <c r="I9" i="1"/>
  <c r="K9" i="1" s="1"/>
  <c r="F9" i="1"/>
  <c r="F7" i="1"/>
  <c r="I7" i="1" s="1"/>
  <c r="K7" i="1" s="1"/>
  <c r="K13" i="1" l="1"/>
</calcChain>
</file>

<file path=xl/sharedStrings.xml><?xml version="1.0" encoding="utf-8"?>
<sst xmlns="http://schemas.openxmlformats.org/spreadsheetml/2006/main" count="32" uniqueCount="32">
  <si>
    <t xml:space="preserve">100MM THICK GYPSUM PARTITION WITH ALUMINUM FRAMEWORK </t>
  </si>
  <si>
    <t xml:space="preserve">SS RAILING WITH GLASS PARTITION </t>
  </si>
  <si>
    <t xml:space="preserve">a. SINGLE GLAZED GLASS  STAIRCASE BALUSTER 
GLASS : The glass to be formed out of 8-10mm thick toughened glass as per details. The joint of the glass should have the double sided 3m tape / silicon sealant of matching to glass thickness.  
b. SS RAILING BALUSTER-
Providing and fixing stainless steel (Grade 304) railing made of Hollow tubes, channels, plates etc., including welding, grinding, buffing, polishing and making curvature (wherever required) and fitting the same with necessary
stainless steel nuts and bolts complete, i/c fixing the railing with necessary accessories &amp; stainless steel dash fasteners, stainless steel bolts etc., of required size
Product Code        KRB-1 and KRB-1A
Surface Finish        Smooth
Material                        SS
Position                        Deck, Stair
Finishing Typ         Lustre
Mounted                Floor or wall monted
Material Grade        SS 304
Mounting Type         Floor or wall mount
Grade                         Industrial 
Brand                         Klezrox
Baluster with Glass Holder is available as floor mounted and wall mounted versions 
Model No : KRB-1 (Baluster with Glass Holder - floor mounted </t>
  </si>
  <si>
    <t>PARTITION WORK</t>
  </si>
  <si>
    <t>MAIN HEADING</t>
  </si>
  <si>
    <t>SUB-HEADING</t>
  </si>
  <si>
    <t>S.NO.</t>
  </si>
  <si>
    <t xml:space="preserve"> PARTITION THICKNESS : 100MM THK 
FRAMEWORK : Providing &amp; fixing  25mm x 50mm x 1.2mm thick extruded Aluminium box section framework placed at 600mm centre to centre in floor and ceiling channel, which is anchored to the floor &amp; True ceiling using suitable anchor fasteners or metal screws with nylon plugs.
INFILL : Single layer of 50mm thick rockwool of density 64 kg/m3, blanket  wrapped in RP tissue suitably affixed to partition framework using necessary GI binding wire and duct tape.
CLADDING : Double layer of 12.5 mm thick tapered edge Plain gypsum board cladding over framework on both sides in line and level, screws fixed with drywall screws of 25mm/ 35mm @ 300mm centre to centre with staggered joints to avoid through joints. 
FINISH : The board shall be jointed and finished to have a flushed look by filling and finishing with proprietary supplied jointing tape &amp; jointing compound with two coats of drywall top coat and gyp board primer.
SPECIAL PROVISION : Contractor to make provision for all electrical/networking boxes and to provide cut-outs as required. Contractor to provide additional supports as required.
MODE OF MEASUREMENT : Finished Floor Level to True Ceiling level shall be measured.</t>
  </si>
  <si>
    <t>SINGLE LEAF PATCH FITTING GLASS DOOR- 900mm x 2100mm</t>
  </si>
  <si>
    <t xml:space="preserve">No of Leaves : 01. 
Door Jamb : Approved 45mm thk propreitary aluminium frame work. 
Construction : 10mm thk toughened glass door. 
Anchor fasteners - Heavy duty fasteners in SS finish
Clamp plate - Standard clamping plate for glass door 
Door seal - Glazing gasket for 10mm glass
Handle - Lever handle with escutcheon
Lock - Mortise deadlock in SSM / SSS 304 finish
EPC - Euro profile cylinder with both side keys
Door closer - Half moon door closer in SSM finish
</t>
  </si>
  <si>
    <t>RATE</t>
  </si>
  <si>
    <t>QTY</t>
  </si>
  <si>
    <t>UNIT</t>
  </si>
  <si>
    <t>SQ.FT.</t>
  </si>
  <si>
    <t>AMOUNT</t>
  </si>
  <si>
    <t>REF. IMAGE</t>
  </si>
  <si>
    <t>Description-</t>
  </si>
  <si>
    <t>R.FT.</t>
  </si>
  <si>
    <t>WIDTH</t>
  </si>
  <si>
    <t>HEIGHT</t>
  </si>
  <si>
    <t>DEPTH</t>
  </si>
  <si>
    <t>NO. OF UNIT</t>
  </si>
  <si>
    <t>TOTAL QTY.</t>
  </si>
  <si>
    <t xml:space="preserve">soild filling with half brick bat coba with pcc </t>
  </si>
  <si>
    <t>SOIL FILLING FOR LEVELLING</t>
  </si>
  <si>
    <t>CU.FT.</t>
  </si>
  <si>
    <t>NOS./ JOB</t>
  </si>
  <si>
    <t>CUSTOMISE VALUE</t>
  </si>
  <si>
    <t>BY DEFAULT FORMULA</t>
  </si>
  <si>
    <t>BY DEACTIVATE VALUE</t>
  </si>
  <si>
    <t>AS PER SUB CATEGORY FIXED UNIT</t>
  </si>
  <si>
    <t>GRAND TOTLA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</si>
</sst>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1"/>
      <name val="Calibri"/>
      <family val="2"/>
      <scheme val="minor"/>
    </font>
    <font>
      <sz val="10"/>
      <color rgb="FF000000"/>
      <name val="Calibri"/>
      <family val="2"/>
      <scheme val="minor"/>
    </font>
    <font>
      <b/>
      <sz val="11"/>
      <color theme="1"/>
      <name val="Calibri"/>
      <family val="2"/>
    </font>
    <font>
      <sz val="11"/>
      <color theme="1"/>
      <name val="Calibri"/>
      <family val="2"/>
    </font>
    <font>
      <b/>
      <sz val="11"/>
      <color theme="0"/>
      <name val="Calibri"/>
      <family val="2"/>
      <scheme val="minor"/>
    </font>
  </fonts>
  <fills count="10">
    <fill>
      <patternFill patternType="none"/>
    </fill>
    <fill>
      <patternFill patternType="gray125"/>
    </fill>
    <fill>
      <patternFill patternType="solid">
        <fgColor rgb="FFFFC000"/>
        <bgColor indexed="64"/>
      </patternFill>
    </fill>
    <fill>
      <patternFill patternType="solid">
        <fgColor theme="0" tint="-4.9989318521683403E-2"/>
        <bgColor rgb="FFD8D8D8"/>
      </patternFill>
    </fill>
    <fill>
      <patternFill patternType="solid">
        <fgColor theme="0" tint="-4.9989318521683403E-2"/>
        <bgColor indexed="64"/>
      </patternFill>
    </fill>
    <fill>
      <patternFill patternType="solid">
        <fgColor rgb="FFFFFF00"/>
        <bgColor indexed="64"/>
      </patternFill>
    </fill>
    <fill>
      <patternFill patternType="solid">
        <fgColor rgb="FFBCFCCA"/>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rgb="FFFF0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2" fillId="0" borderId="0"/>
    <xf numFmtId="0" fontId="2" fillId="0" borderId="0"/>
  </cellStyleXfs>
  <cellXfs count="68">
    <xf numFmtId="0" fontId="0" fillId="0" borderId="0" xfId="0"/>
    <xf numFmtId="0" fontId="0" fillId="0" borderId="0" xfId="0" applyFont="1"/>
    <xf numFmtId="0" fontId="0" fillId="0" borderId="0" xfId="0" applyFont="1" applyAlignment="1">
      <alignment horizontal="left" vertical="top"/>
    </xf>
    <xf numFmtId="0" fontId="0" fillId="0" borderId="0" xfId="0" applyFont="1" applyFill="1" applyAlignment="1">
      <alignment horizontal="center"/>
    </xf>
    <xf numFmtId="0" fontId="0" fillId="0" borderId="0" xfId="0" applyFont="1" applyAlignment="1">
      <alignment horizontal="center"/>
    </xf>
    <xf numFmtId="0" fontId="0" fillId="0" borderId="0" xfId="0" applyFont="1" applyAlignment="1">
      <alignment horizontal="center" vertical="top"/>
    </xf>
    <xf numFmtId="0" fontId="3" fillId="0" borderId="1" xfId="1" applyFont="1" applyFill="1" applyBorder="1" applyAlignment="1">
      <alignment horizontal="center" vertical="top" wrapText="1"/>
    </xf>
    <xf numFmtId="0" fontId="0" fillId="0" borderId="1" xfId="0" applyFont="1" applyBorder="1" applyAlignment="1">
      <alignment horizontal="center" vertical="top"/>
    </xf>
    <xf numFmtId="0" fontId="3" fillId="0" borderId="1" xfId="1" applyFont="1" applyFill="1" applyBorder="1" applyAlignment="1">
      <alignment horizontal="left" vertical="top" wrapText="1"/>
    </xf>
    <xf numFmtId="2" fontId="4" fillId="0" borderId="1" xfId="1" applyNumberFormat="1" applyFont="1" applyBorder="1" applyAlignment="1">
      <alignment horizontal="left" vertical="top" wrapText="1"/>
    </xf>
    <xf numFmtId="0" fontId="0" fillId="0" borderId="1" xfId="0" applyFont="1" applyBorder="1" applyAlignment="1">
      <alignment horizontal="left" vertical="top"/>
    </xf>
    <xf numFmtId="0" fontId="0" fillId="0" borderId="1" xfId="0" applyFont="1" applyFill="1" applyBorder="1" applyAlignment="1">
      <alignment horizontal="center" vertical="top"/>
    </xf>
    <xf numFmtId="2" fontId="4" fillId="0" borderId="1" xfId="1" applyNumberFormat="1" applyFont="1" applyFill="1" applyBorder="1" applyAlignment="1">
      <alignment horizontal="left" vertical="top" wrapText="1"/>
    </xf>
    <xf numFmtId="0" fontId="0" fillId="0" borderId="0" xfId="0" applyFont="1" applyAlignment="1">
      <alignment horizontal="center" vertical="center"/>
    </xf>
    <xf numFmtId="0" fontId="0" fillId="0" borderId="1" xfId="0" applyFont="1" applyBorder="1" applyAlignment="1">
      <alignment horizontal="center" vertical="center"/>
    </xf>
    <xf numFmtId="0" fontId="0" fillId="0" borderId="1" xfId="0" applyFont="1" applyFill="1" applyBorder="1" applyAlignment="1">
      <alignment horizontal="center" vertical="center"/>
    </xf>
    <xf numFmtId="0" fontId="3" fillId="3" borderId="1" xfId="1" applyFont="1" applyFill="1" applyBorder="1" applyAlignment="1">
      <alignment horizontal="left" vertical="center" wrapText="1"/>
    </xf>
    <xf numFmtId="0" fontId="3" fillId="3" borderId="1" xfId="1" applyFont="1" applyFill="1" applyBorder="1" applyAlignment="1">
      <alignment horizontal="center" vertical="center" wrapText="1"/>
    </xf>
    <xf numFmtId="0" fontId="1" fillId="4" borderId="1" xfId="0" applyFont="1" applyFill="1" applyBorder="1" applyAlignment="1">
      <alignment horizontal="center" vertical="center"/>
    </xf>
    <xf numFmtId="0" fontId="1" fillId="4" borderId="1" xfId="0" applyFont="1" applyFill="1" applyBorder="1" applyAlignment="1">
      <alignment horizontal="center"/>
    </xf>
    <xf numFmtId="0" fontId="0" fillId="0" borderId="1" xfId="0" applyFont="1" applyFill="1" applyBorder="1" applyAlignment="1">
      <alignment horizontal="center"/>
    </xf>
    <xf numFmtId="0" fontId="0" fillId="0" borderId="1" xfId="0" applyFont="1" applyBorder="1"/>
    <xf numFmtId="4" fontId="1" fillId="4" borderId="1" xfId="0" applyNumberFormat="1" applyFont="1" applyFill="1" applyBorder="1" applyAlignment="1">
      <alignment horizontal="center" vertical="center"/>
    </xf>
    <xf numFmtId="4" fontId="0" fillId="0" borderId="1" xfId="0" applyNumberFormat="1" applyFont="1" applyFill="1" applyBorder="1" applyAlignment="1">
      <alignment horizontal="center" vertical="center"/>
    </xf>
    <xf numFmtId="4" fontId="0" fillId="0" borderId="1" xfId="0" applyNumberFormat="1" applyFont="1" applyBorder="1" applyAlignment="1">
      <alignment horizontal="center" vertical="center"/>
    </xf>
    <xf numFmtId="4" fontId="0" fillId="0" borderId="0" xfId="0" applyNumberFormat="1" applyFont="1" applyAlignment="1">
      <alignment horizontal="center" vertical="center"/>
    </xf>
    <xf numFmtId="0" fontId="1" fillId="4" borderId="1" xfId="0" applyFont="1" applyFill="1" applyBorder="1" applyAlignment="1">
      <alignment horizontal="center" vertical="center" wrapText="1"/>
    </xf>
    <xf numFmtId="0" fontId="0" fillId="5" borderId="1" xfId="0" applyFont="1" applyFill="1" applyBorder="1" applyAlignment="1">
      <alignment horizontal="center" vertical="center"/>
    </xf>
    <xf numFmtId="0" fontId="3" fillId="0" borderId="1" xfId="1" applyFont="1" applyFill="1" applyBorder="1" applyAlignment="1">
      <alignment horizontal="center" vertical="center" wrapText="1"/>
    </xf>
    <xf numFmtId="2" fontId="4" fillId="5" borderId="1" xfId="1" applyNumberFormat="1" applyFont="1" applyFill="1" applyBorder="1" applyAlignment="1">
      <alignment horizontal="center" vertical="center" wrapText="1"/>
    </xf>
    <xf numFmtId="2" fontId="4" fillId="6" borderId="1" xfId="1" applyNumberFormat="1" applyFont="1" applyFill="1" applyBorder="1" applyAlignment="1">
      <alignment horizontal="center" vertical="center" wrapText="1"/>
    </xf>
    <xf numFmtId="0" fontId="0" fillId="6" borderId="1" xfId="0" applyFont="1" applyFill="1" applyBorder="1" applyAlignment="1">
      <alignment horizontal="center" vertical="center"/>
    </xf>
    <xf numFmtId="0" fontId="0" fillId="2" borderId="1" xfId="0" applyFont="1" applyFill="1" applyBorder="1" applyAlignment="1">
      <alignment horizontal="center" vertical="center"/>
    </xf>
    <xf numFmtId="0" fontId="0" fillId="7" borderId="1" xfId="0" applyFont="1" applyFill="1" applyBorder="1" applyAlignment="1">
      <alignment horizontal="center" vertical="center"/>
    </xf>
    <xf numFmtId="4" fontId="0" fillId="7" borderId="1" xfId="0" applyNumberFormat="1" applyFont="1" applyFill="1" applyBorder="1" applyAlignment="1">
      <alignment horizontal="center" vertical="center"/>
    </xf>
    <xf numFmtId="0" fontId="0" fillId="8" borderId="1" xfId="0" applyFont="1" applyFill="1" applyBorder="1" applyAlignment="1">
      <alignment horizontal="center" vertical="center" wrapText="1"/>
    </xf>
    <xf numFmtId="0" fontId="0" fillId="8" borderId="1" xfId="0" applyFont="1" applyFill="1" applyBorder="1" applyAlignment="1">
      <alignment horizontal="center" vertical="center"/>
    </xf>
    <xf numFmtId="0" fontId="0" fillId="2" borderId="1" xfId="0" applyFont="1" applyFill="1" applyBorder="1" applyAlignment="1">
      <alignment horizontal="center" vertical="top"/>
    </xf>
    <xf numFmtId="0" fontId="3" fillId="2" borderId="1" xfId="1" applyFont="1" applyFill="1" applyBorder="1" applyAlignment="1">
      <alignment horizontal="left" vertical="top" wrapText="1"/>
    </xf>
    <xf numFmtId="0" fontId="3" fillId="2" borderId="1" xfId="1" applyFont="1" applyFill="1" applyBorder="1" applyAlignment="1">
      <alignment horizontal="center" vertical="center" wrapText="1"/>
    </xf>
    <xf numFmtId="4" fontId="0" fillId="2" borderId="1" xfId="0" applyNumberFormat="1" applyFont="1" applyFill="1" applyBorder="1" applyAlignment="1">
      <alignment horizontal="center" vertical="center"/>
    </xf>
    <xf numFmtId="0" fontId="0" fillId="2" borderId="1" xfId="0" applyFont="1" applyFill="1" applyBorder="1"/>
    <xf numFmtId="2" fontId="3" fillId="2" borderId="1" xfId="1" applyNumberFormat="1" applyFont="1" applyFill="1" applyBorder="1" applyAlignment="1">
      <alignment horizontal="left" vertical="top" wrapText="1"/>
    </xf>
    <xf numFmtId="0" fontId="1" fillId="2" borderId="1" xfId="0" applyFont="1" applyFill="1" applyBorder="1" applyAlignment="1">
      <alignment horizontal="center" vertical="top"/>
    </xf>
    <xf numFmtId="0" fontId="1" fillId="2" borderId="1" xfId="0" applyFont="1" applyFill="1" applyBorder="1" applyAlignment="1">
      <alignment horizontal="left" vertical="top"/>
    </xf>
    <xf numFmtId="2" fontId="3" fillId="2" borderId="1" xfId="1" applyNumberFormat="1" applyFont="1" applyFill="1" applyBorder="1" applyAlignment="1">
      <alignment horizontal="left" vertical="center" wrapText="1"/>
    </xf>
    <xf numFmtId="0" fontId="5" fillId="9" borderId="0" xfId="0" applyFont="1" applyFill="1" applyAlignment="1">
      <alignment horizontal="center" vertical="top"/>
    </xf>
    <xf numFmtId="0" fontId="5" fillId="9" borderId="0" xfId="0" applyFont="1" applyFill="1" applyAlignment="1">
      <alignment horizontal="left" vertical="top"/>
    </xf>
    <xf numFmtId="0" fontId="1" fillId="5" borderId="1" xfId="0" applyFont="1" applyFill="1" applyBorder="1" applyAlignment="1">
      <alignment horizontal="center" vertical="top"/>
    </xf>
    <xf numFmtId="0" fontId="1" fillId="5" borderId="1" xfId="0" applyFont="1" applyFill="1" applyBorder="1" applyAlignment="1">
      <alignment horizontal="left" vertical="top"/>
    </xf>
    <xf numFmtId="0" fontId="1" fillId="0" borderId="1" xfId="0" applyFont="1" applyBorder="1" applyAlignment="1">
      <alignment horizontal="center" vertical="center"/>
    </xf>
    <xf numFmtId="4" fontId="1" fillId="0" borderId="1" xfId="0" applyNumberFormat="1" applyFont="1" applyBorder="1" applyAlignment="1">
      <alignment horizontal="center" vertical="center"/>
    </xf>
    <xf numFmtId="0" fontId="1" fillId="0" borderId="1" xfId="0" applyFont="1" applyBorder="1"/>
    <xf numFmtId="0" fontId="1" fillId="0" borderId="0" xfId="0" applyFont="1"/>
    <xf numFmtId="0" fontId="1" fillId="8" borderId="1" xfId="0" applyFont="1" applyFill="1" applyBorder="1" applyAlignment="1">
      <alignment horizontal="center" vertical="top"/>
    </xf>
    <xf numFmtId="0" fontId="1" fillId="8" borderId="1" xfId="0" applyFont="1" applyFill="1" applyBorder="1" applyAlignment="1">
      <alignment horizontal="left" vertical="top"/>
    </xf>
    <xf numFmtId="0" fontId="1" fillId="6" borderId="1" xfId="0" applyFont="1" applyFill="1" applyBorder="1" applyAlignment="1">
      <alignment horizontal="center" vertical="top"/>
    </xf>
    <xf numFmtId="0" fontId="1" fillId="6" borderId="1" xfId="0" applyFont="1" applyFill="1" applyBorder="1" applyAlignment="1">
      <alignment horizontal="left" vertical="top"/>
    </xf>
    <xf numFmtId="0" fontId="1" fillId="7" borderId="1" xfId="0" applyFont="1" applyFill="1" applyBorder="1" applyAlignment="1">
      <alignment horizontal="center" vertical="top"/>
    </xf>
    <xf numFmtId="0" fontId="1" fillId="7" borderId="1" xfId="0" applyFont="1" applyFill="1" applyBorder="1" applyAlignment="1">
      <alignment horizontal="left" vertical="top"/>
    </xf>
    <xf numFmtId="0" fontId="5" fillId="9" borderId="1" xfId="0" applyFont="1" applyFill="1" applyBorder="1" applyAlignment="1">
      <alignment horizontal="center" vertical="top"/>
    </xf>
    <xf numFmtId="0" fontId="5" fillId="9" borderId="1" xfId="0" applyFont="1" applyFill="1" applyBorder="1" applyAlignment="1">
      <alignment horizontal="left" vertical="top"/>
    </xf>
    <xf numFmtId="0" fontId="5" fillId="9" borderId="1" xfId="0" applyFont="1" applyFill="1" applyBorder="1" applyAlignment="1">
      <alignment horizontal="center" vertical="center"/>
    </xf>
    <xf numFmtId="0" fontId="5" fillId="9" borderId="2" xfId="0" applyFont="1" applyFill="1" applyBorder="1" applyAlignment="1">
      <alignment horizontal="center" vertical="center"/>
    </xf>
    <xf numFmtId="0" fontId="5" fillId="9" borderId="3" xfId="0" applyFont="1" applyFill="1" applyBorder="1" applyAlignment="1">
      <alignment horizontal="center" vertical="center"/>
    </xf>
    <xf numFmtId="0" fontId="5" fillId="9" borderId="4" xfId="0" applyFont="1" applyFill="1" applyBorder="1" applyAlignment="1">
      <alignment horizontal="center" vertical="center"/>
    </xf>
    <xf numFmtId="4" fontId="5" fillId="9" borderId="1" xfId="0" applyNumberFormat="1" applyFont="1" applyFill="1" applyBorder="1" applyAlignment="1">
      <alignment horizontal="center" vertical="center"/>
    </xf>
    <xf numFmtId="0" fontId="5" fillId="9" borderId="1" xfId="0" applyFont="1" applyFill="1" applyBorder="1"/>
  </cellXfs>
  <cellStyles count="3">
    <cellStyle name="Normal" xfId="0" builtinId="0"/>
    <cellStyle name="Normal 2" xfId="2"/>
    <cellStyle name="Normal 3" xfId="1"/>
  </cellStyles>
  <dxfs count="0"/>
  <tableStyles count="0" defaultTableStyle="TableStyleMedium2" defaultPivotStyle="PivotStyleMedium9"/>
  <colors>
    <mruColors>
      <color rgb="FFBCFCC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117658</xdr:colOff>
      <xdr:row>6</xdr:row>
      <xdr:rowOff>53341</xdr:rowOff>
    </xdr:from>
    <xdr:to>
      <xdr:col>11</xdr:col>
      <xdr:colOff>769620</xdr:colOff>
      <xdr:row>6</xdr:row>
      <xdr:rowOff>701641</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8418" y="1333501"/>
          <a:ext cx="651962" cy="648300"/>
        </a:xfrm>
        <a:prstGeom prst="rect">
          <a:avLst/>
        </a:prstGeom>
      </xdr:spPr>
    </xdr:pic>
    <xdr:clientData/>
  </xdr:twoCellAnchor>
  <xdr:twoCellAnchor editAs="oneCell">
    <xdr:from>
      <xdr:col>11</xdr:col>
      <xdr:colOff>160020</xdr:colOff>
      <xdr:row>8</xdr:row>
      <xdr:rowOff>91440</xdr:rowOff>
    </xdr:from>
    <xdr:to>
      <xdr:col>11</xdr:col>
      <xdr:colOff>796916</xdr:colOff>
      <xdr:row>8</xdr:row>
      <xdr:rowOff>1310640</xdr:rowOff>
    </xdr:to>
    <xdr:pic>
      <xdr:nvPicPr>
        <xdr:cNvPr id="3" name="Picture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050780" y="2407920"/>
          <a:ext cx="636896" cy="1219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20"/>
  <sheetViews>
    <sheetView tabSelected="1" zoomScaleNormal="100" workbookViewId="0">
      <pane ySplit="3" topLeftCell="A4" activePane="bottomLeft" state="frozen"/>
      <selection pane="bottomLeft" activeCell="B9" sqref="B9"/>
    </sheetView>
  </sheetViews>
  <sheetFormatPr defaultRowHeight="14.4" x14ac:dyDescent="0.3"/>
  <cols>
    <col min="1" max="1" width="15.33203125" style="5" customWidth="1"/>
    <col min="2" max="2" width="64.44140625" style="2" customWidth="1"/>
    <col min="3" max="5" width="7.109375" style="13" customWidth="1"/>
    <col min="6" max="6" width="4.33203125" style="13" bestFit="1" customWidth="1"/>
    <col min="7" max="9" width="7.44140625" style="13" customWidth="1"/>
    <col min="10" max="10" width="8.77734375" style="25" customWidth="1"/>
    <col min="11" max="11" width="11.6640625" style="25" customWidth="1"/>
    <col min="12" max="12" width="20.44140625" style="1" customWidth="1"/>
    <col min="13" max="16384" width="8.88671875" style="1"/>
  </cols>
  <sheetData>
    <row r="2" spans="1:12" x14ac:dyDescent="0.3">
      <c r="A2" s="46" t="s">
        <v>4</v>
      </c>
      <c r="B2" s="47" t="s">
        <v>3</v>
      </c>
      <c r="C2" s="47"/>
      <c r="D2" s="47"/>
      <c r="E2" s="47"/>
      <c r="F2" s="47"/>
      <c r="G2" s="47"/>
      <c r="H2" s="47"/>
      <c r="I2" s="47"/>
      <c r="J2" s="47"/>
      <c r="K2" s="47"/>
      <c r="L2" s="47"/>
    </row>
    <row r="3" spans="1:12" s="4" customFormat="1" ht="28.8" x14ac:dyDescent="0.3">
      <c r="A3" s="17" t="s">
        <v>6</v>
      </c>
      <c r="B3" s="16" t="s">
        <v>5</v>
      </c>
      <c r="C3" s="17" t="s">
        <v>18</v>
      </c>
      <c r="D3" s="17" t="s">
        <v>19</v>
      </c>
      <c r="E3" s="17" t="s">
        <v>20</v>
      </c>
      <c r="F3" s="18" t="s">
        <v>11</v>
      </c>
      <c r="G3" s="18" t="s">
        <v>12</v>
      </c>
      <c r="H3" s="26" t="s">
        <v>21</v>
      </c>
      <c r="I3" s="26" t="s">
        <v>22</v>
      </c>
      <c r="J3" s="22" t="s">
        <v>10</v>
      </c>
      <c r="K3" s="22" t="s">
        <v>14</v>
      </c>
      <c r="L3" s="19" t="s">
        <v>15</v>
      </c>
    </row>
    <row r="4" spans="1:12" s="3" customFormat="1" x14ac:dyDescent="0.3">
      <c r="A4" s="6"/>
      <c r="B4" s="6"/>
      <c r="C4" s="28"/>
      <c r="D4" s="28"/>
      <c r="E4" s="28"/>
      <c r="F4" s="15"/>
      <c r="G4" s="15"/>
      <c r="H4" s="15"/>
      <c r="I4" s="15"/>
      <c r="J4" s="23"/>
      <c r="K4" s="23"/>
      <c r="L4" s="20"/>
    </row>
    <row r="5" spans="1:12" x14ac:dyDescent="0.3">
      <c r="A5" s="37">
        <v>1</v>
      </c>
      <c r="B5" s="38" t="s">
        <v>0</v>
      </c>
      <c r="C5" s="39"/>
      <c r="D5" s="39"/>
      <c r="E5" s="39"/>
      <c r="F5" s="32"/>
      <c r="G5" s="32"/>
      <c r="H5" s="32"/>
      <c r="I5" s="32"/>
      <c r="J5" s="40"/>
      <c r="K5" s="40"/>
      <c r="L5" s="41"/>
    </row>
    <row r="6" spans="1:12" x14ac:dyDescent="0.3">
      <c r="A6" s="7"/>
      <c r="B6" s="8" t="s">
        <v>16</v>
      </c>
      <c r="C6" s="28"/>
      <c r="D6" s="28"/>
      <c r="E6" s="28"/>
      <c r="F6" s="14"/>
      <c r="G6" s="14"/>
      <c r="H6" s="14"/>
      <c r="I6" s="14"/>
      <c r="J6" s="24"/>
      <c r="K6" s="24"/>
      <c r="L6" s="21"/>
    </row>
    <row r="7" spans="1:12" ht="67.2" customHeight="1" x14ac:dyDescent="0.3">
      <c r="A7" s="7"/>
      <c r="B7" s="9" t="s">
        <v>7</v>
      </c>
      <c r="C7" s="30">
        <v>5</v>
      </c>
      <c r="D7" s="30">
        <v>10</v>
      </c>
      <c r="E7" s="29"/>
      <c r="F7" s="33">
        <f>C7*D7</f>
        <v>50</v>
      </c>
      <c r="G7" s="36" t="s">
        <v>13</v>
      </c>
      <c r="H7" s="31">
        <v>2</v>
      </c>
      <c r="I7" s="33">
        <f>F7*H7</f>
        <v>100</v>
      </c>
      <c r="J7" s="34">
        <v>300</v>
      </c>
      <c r="K7" s="34">
        <f>I7*J7</f>
        <v>30000</v>
      </c>
      <c r="L7" s="21"/>
    </row>
    <row r="8" spans="1:12" x14ac:dyDescent="0.3">
      <c r="A8" s="37">
        <v>2</v>
      </c>
      <c r="B8" s="42" t="s">
        <v>1</v>
      </c>
      <c r="C8" s="32"/>
      <c r="D8" s="32"/>
      <c r="E8" s="32"/>
      <c r="F8" s="32"/>
      <c r="G8" s="32"/>
      <c r="H8" s="32"/>
      <c r="I8" s="32"/>
      <c r="J8" s="40"/>
      <c r="K8" s="40"/>
      <c r="L8" s="41"/>
    </row>
    <row r="9" spans="1:12" ht="108.6" customHeight="1" x14ac:dyDescent="0.3">
      <c r="A9" s="11"/>
      <c r="B9" s="12" t="s">
        <v>2</v>
      </c>
      <c r="C9" s="31">
        <v>10</v>
      </c>
      <c r="D9" s="27"/>
      <c r="E9" s="27"/>
      <c r="F9" s="33">
        <f>C9</f>
        <v>10</v>
      </c>
      <c r="G9" s="36" t="s">
        <v>17</v>
      </c>
      <c r="H9" s="31">
        <v>2</v>
      </c>
      <c r="I9" s="33">
        <f>F9*H9</f>
        <v>20</v>
      </c>
      <c r="J9" s="34">
        <v>1000</v>
      </c>
      <c r="K9" s="34">
        <f>I9*J9</f>
        <v>20000</v>
      </c>
      <c r="L9" s="21"/>
    </row>
    <row r="10" spans="1:12" x14ac:dyDescent="0.3">
      <c r="A10" s="43">
        <v>3</v>
      </c>
      <c r="B10" s="44" t="s">
        <v>24</v>
      </c>
      <c r="C10" s="32"/>
      <c r="D10" s="32"/>
      <c r="E10" s="32"/>
      <c r="F10" s="32"/>
      <c r="G10" s="32"/>
      <c r="H10" s="32"/>
      <c r="I10" s="32"/>
      <c r="J10" s="40"/>
      <c r="K10" s="40"/>
      <c r="L10" s="41"/>
    </row>
    <row r="11" spans="1:12" ht="61.8" customHeight="1" x14ac:dyDescent="0.3">
      <c r="A11" s="7"/>
      <c r="B11" s="12" t="s">
        <v>23</v>
      </c>
      <c r="C11" s="31">
        <v>5</v>
      </c>
      <c r="D11" s="31">
        <v>6</v>
      </c>
      <c r="E11" s="31">
        <v>2</v>
      </c>
      <c r="F11" s="33">
        <f>C11*D11*E11</f>
        <v>60</v>
      </c>
      <c r="G11" s="36" t="s">
        <v>25</v>
      </c>
      <c r="H11" s="31">
        <v>2</v>
      </c>
      <c r="I11" s="33">
        <f>F11*H11</f>
        <v>120</v>
      </c>
      <c r="J11" s="34">
        <v>500</v>
      </c>
      <c r="K11" s="34">
        <f>I11*J11</f>
        <v>60000</v>
      </c>
      <c r="L11" s="21"/>
    </row>
    <row r="12" spans="1:12" x14ac:dyDescent="0.3">
      <c r="A12" s="43">
        <v>4</v>
      </c>
      <c r="B12" s="45" t="s">
        <v>8</v>
      </c>
      <c r="C12" s="32"/>
      <c r="D12" s="32"/>
      <c r="E12" s="32"/>
      <c r="F12" s="32"/>
      <c r="G12" s="32"/>
      <c r="H12" s="32"/>
      <c r="I12" s="32"/>
      <c r="J12" s="40"/>
      <c r="K12" s="40"/>
      <c r="L12" s="41"/>
    </row>
    <row r="13" spans="1:12" ht="76.2" customHeight="1" x14ac:dyDescent="0.3">
      <c r="A13" s="7"/>
      <c r="B13" s="12" t="s">
        <v>9</v>
      </c>
      <c r="C13" s="31">
        <v>3</v>
      </c>
      <c r="D13" s="31">
        <v>7</v>
      </c>
      <c r="E13" s="31">
        <v>1</v>
      </c>
      <c r="F13" s="33">
        <f>C13*D13*E13</f>
        <v>21</v>
      </c>
      <c r="G13" s="35" t="s">
        <v>26</v>
      </c>
      <c r="H13" s="31">
        <v>2</v>
      </c>
      <c r="I13" s="33">
        <f>H13</f>
        <v>2</v>
      </c>
      <c r="J13" s="34">
        <v>35000</v>
      </c>
      <c r="K13" s="34">
        <f>I13*J13</f>
        <v>70000</v>
      </c>
      <c r="L13" s="21"/>
    </row>
    <row r="14" spans="1:12" x14ac:dyDescent="0.3">
      <c r="A14" s="7"/>
      <c r="B14" s="10"/>
      <c r="C14" s="14"/>
      <c r="D14" s="14"/>
      <c r="E14" s="14"/>
      <c r="F14" s="14"/>
      <c r="G14" s="14"/>
      <c r="H14" s="14"/>
      <c r="I14" s="14"/>
      <c r="J14" s="24"/>
      <c r="K14" s="24"/>
      <c r="L14" s="21"/>
    </row>
    <row r="15" spans="1:12" s="53" customFormat="1" x14ac:dyDescent="0.3">
      <c r="A15" s="60"/>
      <c r="B15" s="61"/>
      <c r="C15" s="62"/>
      <c r="D15" s="62"/>
      <c r="E15" s="62"/>
      <c r="F15" s="62"/>
      <c r="G15" s="62"/>
      <c r="H15" s="63" t="s">
        <v>31</v>
      </c>
      <c r="I15" s="64"/>
      <c r="J15" s="65"/>
      <c r="K15" s="66">
        <f>SUM(K7:K13)</f>
        <v>180000</v>
      </c>
      <c r="L15" s="67"/>
    </row>
    <row r="16" spans="1:12" x14ac:dyDescent="0.3">
      <c r="A16" s="7"/>
      <c r="B16" s="10"/>
      <c r="C16" s="14"/>
      <c r="D16" s="14"/>
      <c r="E16" s="14"/>
      <c r="F16" s="14"/>
      <c r="G16" s="14"/>
      <c r="H16" s="14"/>
      <c r="I16" s="14"/>
      <c r="J16" s="24"/>
      <c r="K16" s="24"/>
      <c r="L16" s="21"/>
    </row>
    <row r="17" spans="1:12" s="53" customFormat="1" x14ac:dyDescent="0.3">
      <c r="A17" s="48"/>
      <c r="B17" s="49" t="s">
        <v>29</v>
      </c>
      <c r="C17" s="50"/>
      <c r="D17" s="50"/>
      <c r="E17" s="50"/>
      <c r="F17" s="50"/>
      <c r="G17" s="50"/>
      <c r="H17" s="50"/>
      <c r="I17" s="50"/>
      <c r="J17" s="51"/>
      <c r="K17" s="51"/>
      <c r="L17" s="52"/>
    </row>
    <row r="18" spans="1:12" s="53" customFormat="1" x14ac:dyDescent="0.3">
      <c r="A18" s="54"/>
      <c r="B18" s="55" t="s">
        <v>30</v>
      </c>
      <c r="C18" s="50"/>
      <c r="D18" s="50"/>
      <c r="E18" s="50"/>
      <c r="F18" s="50"/>
      <c r="G18" s="50"/>
      <c r="H18" s="50"/>
      <c r="I18" s="50"/>
      <c r="J18" s="51"/>
      <c r="K18" s="51"/>
      <c r="L18" s="52"/>
    </row>
    <row r="19" spans="1:12" s="53" customFormat="1" x14ac:dyDescent="0.3">
      <c r="A19" s="56"/>
      <c r="B19" s="57" t="s">
        <v>27</v>
      </c>
      <c r="C19" s="50"/>
      <c r="D19" s="50"/>
      <c r="E19" s="50"/>
      <c r="F19" s="50"/>
      <c r="G19" s="50"/>
      <c r="H19" s="50"/>
      <c r="I19" s="50"/>
      <c r="J19" s="51"/>
      <c r="K19" s="51"/>
      <c r="L19" s="52"/>
    </row>
    <row r="20" spans="1:12" s="53" customFormat="1" x14ac:dyDescent="0.3">
      <c r="A20" s="58"/>
      <c r="B20" s="59" t="s">
        <v>28</v>
      </c>
      <c r="C20" s="50"/>
      <c r="D20" s="50"/>
      <c r="E20" s="50"/>
      <c r="F20" s="50"/>
      <c r="G20" s="50"/>
      <c r="H20" s="50"/>
      <c r="I20" s="50"/>
      <c r="J20" s="51"/>
      <c r="K20" s="51"/>
      <c r="L20" s="52"/>
    </row>
  </sheetData>
  <mergeCells count="2">
    <mergeCell ref="B2:L2"/>
    <mergeCell ref="H15:J1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PARTITON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2026-02-25T11:08:43Z</dcterms:modified>
</cp:coreProperties>
</file>